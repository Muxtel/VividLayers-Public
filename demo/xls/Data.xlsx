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FicheSkater" sheetId="1" state="visible" r:id="rId1"/>
    <sheet name="Synthes" sheetId="2" state="visible" r:id="rId2"/>
    <sheet name="ClassementGIRLS" sheetId="3" state="visible" r:id="rId3"/>
    <sheet name="ClassementBOYS" sheetId="4" state="visible" r:id="rId4"/>
    <sheet name="Competition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<sst xmlns="http://schemas.openxmlformats.org/spreadsheetml/2006/main" count="32" uniqueCount="32">
  <si>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Prenom</t>
  </si>
  <si>
    <t>Nom</t>
  </si>
  <si>
    <t>PrenomNom</t>
  </si>
  <si>
    <t>Age</t>
  </si>
  <si>
    <t>Ville</t>
  </si>
  <si>
    <t>Drapeau</t>
  </si>
  <si>
    <t>Photo</t>
  </si>
  <si>
    <t>Nadia</t>
  </si>
  <si>
    <t>Muxteline</t>
  </si>
  <si>
    <t>Biarritz</t>
  </si>
  <si>
    <t>./assets/teenage/drapeaux/CH.png</t>
  </si>
  <si>
    <t>./assets/teenage/photos/vide.png</t>
  </si>
  <si>
    <t>Ingrid</t>
  </si>
  <si>
    <t>Delgado</t>
  </si>
  <si>
    <t>Bayonne</t>
  </si>
  <si>
    <t>./assets/teenage/drapeaux/FR.png</t>
  </si>
  <si>
    <t>Mikel</t>
  </si>
  <si>
    <t>Arangiz</t>
  </si>
  <si>
    <t>Donostia</t>
  </si>
  <si>
    <t>./assets/teenage/drapeaux/ES.png</t>
  </si>
  <si>
    <t>Fonction</t>
  </si>
  <si>
    <t xml:space="preserve">Nicolas Gay</t>
  </si>
  <si>
    <t>Commentateur</t>
  </si>
  <si>
    <t xml:space="preserve">Greg Poissonnier</t>
  </si>
  <si>
    <t>Consultant</t>
  </si>
  <si>
    <t>Position</t>
  </si>
  <si>
    <t>Points</t>
  </si>
  <si>
    <t xml:space="preserve">Ingrid Delgado</t>
  </si>
  <si>
    <t xml:space="preserve">Mikel Arangiz</t>
  </si>
  <si>
    <t xml:space="preserve">Nadia Muxteline</t>
  </si>
  <si>
    <t xml:space="preserve">Final open U18 - Grils</t>
  </si>
  <si>
    <t xml:space="preserve">Final open U18 - Boys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</si>
</sst>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color theme="1"/>
      <name val="Calibri"/>
      <scheme val="minor"/>
    </font>
    <font>
      <b/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>
      <protection hidden="0" locked="1"/>
    </xf>
    <xf fontId="2" fillId="0" borderId="0" numFmtId="0" xfId="0" applyFont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8515625"/>
    <col customWidth="1" min="2" max="3" width="15.7109375"/>
    <col customWidth="1" min="4" max="5" width="17.28125"/>
    <col customWidth="1" min="6" max="6" width="61.140625"/>
    <col customWidth="1" min="7" max="7" width="49.8515625"/>
  </cols>
  <sheetData>
    <row r="1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t="s">
        <v>7</v>
      </c>
      <c r="B2" t="s">
        <v>8</v>
      </c>
      <c r="C2" t="str">
        <f t="shared" ref="C2:C9" si="0">$A2&amp;" "&amp;$B2</f>
        <v xml:space="preserve">Nadia Muxteline</v>
      </c>
      <c r="D2">
        <v>15</v>
      </c>
      <c r="E2" s="2" t="s">
        <v>9</v>
      </c>
      <c r="F2" t="s">
        <v>10</v>
      </c>
      <c r="G2" t="s">
        <v>11</v>
      </c>
    </row>
    <row r="3" ht="14.25">
      <c r="A3" s="2" t="s">
        <v>12</v>
      </c>
      <c r="B3" t="s">
        <v>13</v>
      </c>
      <c r="C3" t="str">
        <f t="shared" si="0"/>
        <v xml:space="preserve">Ingrid Delgado</v>
      </c>
      <c r="D3" s="3">
        <v>17</v>
      </c>
      <c r="E3" s="2" t="s">
        <v>14</v>
      </c>
      <c r="F3" t="s">
        <v>15</v>
      </c>
      <c r="G3" t="s">
        <v>11</v>
      </c>
    </row>
    <row r="4" ht="14.25">
      <c r="A4" t="s">
        <v>16</v>
      </c>
      <c r="B4" t="s">
        <v>17</v>
      </c>
      <c r="C4" t="str">
        <f t="shared" si="0"/>
        <v xml:space="preserve">Mikel Arangiz</v>
      </c>
      <c r="D4">
        <v>15</v>
      </c>
      <c r="E4" t="s">
        <v>18</v>
      </c>
      <c r="F4" s="4" t="s">
        <v>19</v>
      </c>
      <c r="G4" s="3" t="s">
        <v>11</v>
      </c>
    </row>
    <row r="5" ht="14.25">
      <c r="C5" t="str">
        <f t="shared" si="0"/>
        <v xml:space="preserve"> </v>
      </c>
    </row>
    <row r="6" ht="14.25">
      <c r="C6" t="str">
        <f t="shared" si="0"/>
        <v xml:space="preserve"> </v>
      </c>
    </row>
    <row r="7" ht="14.25">
      <c r="C7" t="str">
        <f t="shared" si="0"/>
        <v xml:space="preserve"> </v>
      </c>
    </row>
    <row r="8" ht="14.25">
      <c r="C8" t="str">
        <f t="shared" si="0"/>
        <v xml:space="preserve"> </v>
      </c>
    </row>
    <row r="9" ht="14.25">
      <c r="C9" t="str">
        <f t="shared" si="0"/>
        <v xml:space="preserve"> </v>
      </c>
    </row>
    <row r="10" ht="14.25">
      <c r="C10" t="str">
        <f t="shared" ref="C10:C48" si="1">$A10&amp;" "&amp;$B10</f>
        <v xml:space="preserve"> </v>
      </c>
    </row>
    <row r="11" ht="14.25">
      <c r="C11" t="str">
        <f t="shared" si="1"/>
        <v xml:space="preserve"> </v>
      </c>
    </row>
    <row r="12" ht="14.25">
      <c r="C12" t="str">
        <f t="shared" si="1"/>
        <v xml:space="preserve"> </v>
      </c>
    </row>
    <row r="13" ht="14.25">
      <c r="C13" t="str">
        <f t="shared" si="1"/>
        <v xml:space="preserve"> </v>
      </c>
    </row>
    <row r="14" ht="14.25">
      <c r="C14" t="str">
        <f t="shared" si="1"/>
        <v xml:space="preserve"> </v>
      </c>
    </row>
    <row r="15" ht="14.25">
      <c r="C15" t="str">
        <f t="shared" si="1"/>
        <v xml:space="preserve"> </v>
      </c>
    </row>
    <row r="16" ht="14.25">
      <c r="C16" t="str">
        <f t="shared" si="1"/>
        <v xml:space="preserve"> </v>
      </c>
    </row>
    <row r="17" ht="14.25">
      <c r="C17" t="str">
        <f t="shared" si="1"/>
        <v xml:space="preserve"> </v>
      </c>
    </row>
    <row r="18" ht="14.25">
      <c r="C18" t="str">
        <f t="shared" si="1"/>
        <v xml:space="preserve"> </v>
      </c>
    </row>
    <row r="19" ht="14.25">
      <c r="C19" t="str">
        <f t="shared" si="1"/>
        <v xml:space="preserve"> </v>
      </c>
    </row>
    <row r="20" ht="14.25">
      <c r="C20" t="str">
        <f t="shared" si="1"/>
        <v xml:space="preserve"> </v>
      </c>
    </row>
    <row r="21" ht="14.25">
      <c r="C21" t="str">
        <f t="shared" si="1"/>
        <v xml:space="preserve"> </v>
      </c>
    </row>
    <row r="22" ht="14.25">
      <c r="C22" t="str">
        <f t="shared" si="1"/>
        <v xml:space="preserve"> </v>
      </c>
    </row>
    <row r="23" ht="14.25">
      <c r="C23" t="str">
        <f t="shared" si="1"/>
        <v xml:space="preserve"> </v>
      </c>
    </row>
    <row r="24" ht="14.25">
      <c r="C24" t="str">
        <f t="shared" si="1"/>
        <v xml:space="preserve"> </v>
      </c>
    </row>
    <row r="25" ht="14.25">
      <c r="C25" t="str">
        <f t="shared" si="1"/>
        <v xml:space="preserve"> </v>
      </c>
    </row>
    <row r="26" ht="14.25">
      <c r="C26" t="str">
        <f t="shared" si="1"/>
        <v xml:space="preserve"> </v>
      </c>
    </row>
    <row r="27" ht="14.25">
      <c r="C27" t="str">
        <f t="shared" si="1"/>
        <v xml:space="preserve"> </v>
      </c>
    </row>
    <row r="28" ht="14.25">
      <c r="C28" t="str">
        <f t="shared" si="1"/>
        <v xml:space="preserve"> </v>
      </c>
    </row>
    <row r="29" ht="14.25">
      <c r="C29" t="str">
        <f t="shared" si="1"/>
        <v xml:space="preserve"> </v>
      </c>
    </row>
    <row r="30" ht="14.25">
      <c r="C30" t="str">
        <f t="shared" si="1"/>
        <v xml:space="preserve"> </v>
      </c>
    </row>
    <row r="31" ht="14.25">
      <c r="C31" t="str">
        <f t="shared" si="1"/>
        <v xml:space="preserve"> </v>
      </c>
    </row>
    <row r="32" ht="14.25">
      <c r="C32" t="str">
        <f t="shared" si="1"/>
        <v xml:space="preserve"> </v>
      </c>
    </row>
    <row r="33" ht="14.25">
      <c r="C33" t="str">
        <f t="shared" si="1"/>
        <v xml:space="preserve"> </v>
      </c>
    </row>
    <row r="34" ht="14.25">
      <c r="C34" t="str">
        <f t="shared" si="1"/>
        <v xml:space="preserve"> </v>
      </c>
    </row>
    <row r="35" ht="14.25">
      <c r="C35" t="str">
        <f t="shared" si="1"/>
        <v xml:space="preserve"> </v>
      </c>
    </row>
    <row r="36" ht="14.25">
      <c r="C36" t="str">
        <f t="shared" si="1"/>
        <v xml:space="preserve"> </v>
      </c>
    </row>
    <row r="37" ht="14.25">
      <c r="C37" t="str">
        <f t="shared" si="1"/>
        <v xml:space="preserve"> </v>
      </c>
    </row>
    <row r="38" ht="14.25">
      <c r="C38" t="str">
        <f t="shared" si="1"/>
        <v xml:space="preserve"> </v>
      </c>
    </row>
    <row r="39" ht="14.25">
      <c r="C39" t="str">
        <f t="shared" si="1"/>
        <v xml:space="preserve"> </v>
      </c>
    </row>
    <row r="40" ht="14.25">
      <c r="C40" t="str">
        <f t="shared" si="1"/>
        <v xml:space="preserve"> </v>
      </c>
    </row>
    <row r="41" ht="14.25">
      <c r="C41" t="str">
        <f t="shared" si="1"/>
        <v xml:space="preserve"> </v>
      </c>
    </row>
    <row r="42" ht="14.25">
      <c r="C42" t="str">
        <f t="shared" si="1"/>
        <v xml:space="preserve"> </v>
      </c>
    </row>
    <row r="43" ht="14.25">
      <c r="C43" t="str">
        <f t="shared" si="1"/>
        <v xml:space="preserve"> </v>
      </c>
    </row>
    <row r="44" ht="14.25">
      <c r="C44" t="str">
        <f t="shared" si="1"/>
        <v xml:space="preserve"> </v>
      </c>
    </row>
    <row r="45" ht="14.25">
      <c r="C45" t="str">
        <f t="shared" si="1"/>
        <v xml:space="preserve"> </v>
      </c>
    </row>
    <row r="46" ht="14.25">
      <c r="C46" s="1" t="str">
        <f t="shared" si="1"/>
        <v xml:space="preserve"> </v>
      </c>
    </row>
    <row r="47" ht="14.25">
      <c r="C47" s="1" t="str">
        <f t="shared" si="1"/>
        <v xml:space="preserve"> </v>
      </c>
    </row>
    <row r="48" ht="14.25">
      <c r="C48" s="1" t="str">
        <f t="shared" si="1"/>
        <v xml:space="preserve"> 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9.140625"/>
    <col customWidth="1" min="2" max="2" width="32.00390625"/>
  </cols>
  <sheetData>
    <row r="1" s="1" customFormat="1">
      <c r="A1" s="1" t="s">
        <v>2</v>
      </c>
      <c r="B1" s="1" t="s">
        <v>20</v>
      </c>
    </row>
    <row r="2">
      <c r="A2" t="s">
        <v>21</v>
      </c>
      <c r="B2" t="s">
        <v>22</v>
      </c>
    </row>
    <row r="3">
      <c r="A3" t="s">
        <v>23</v>
      </c>
      <c r="B3" t="s">
        <v>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57421875"/>
    <col customWidth="1" min="2" max="2" width="34.00390625"/>
    <col customWidth="1" min="3" max="3" width="12.00390625"/>
    <col customWidth="1" min="4" max="4" width="55.00390625"/>
  </cols>
  <sheetData>
    <row r="1" s="1" customFormat="1">
      <c r="A1" s="1" t="s">
        <v>25</v>
      </c>
      <c r="B1" s="1" t="s">
        <v>2</v>
      </c>
      <c r="C1" s="1" t="s">
        <v>26</v>
      </c>
      <c r="D1" s="1" t="s">
        <v>5</v>
      </c>
    </row>
    <row r="2" ht="18.75">
      <c r="A2" s="5">
        <v>1</v>
      </c>
      <c r="B2" t="s">
        <v>27</v>
      </c>
      <c r="C2">
        <v>75.299999999999997</v>
      </c>
      <c r="D2" t="str">
        <f>VLOOKUP(B2,FicheSkater!$C$2:$F$99,4,FALSE)</f>
        <v>./assets/teenage/drapeaux/FR.png</v>
      </c>
    </row>
    <row r="3" ht="18.75">
      <c r="A3" s="5">
        <v>2</v>
      </c>
      <c r="B3" t="s">
        <v>28</v>
      </c>
      <c r="C3" s="3">
        <v>75.299999999999997</v>
      </c>
      <c r="D3" s="3" t="str">
        <f>VLOOKUP(B3,FicheSkater!$C$2:$F$99,4,FALSE)</f>
        <v>./assets/teenage/drapeaux/ES.png</v>
      </c>
    </row>
    <row r="4" ht="18.75">
      <c r="A4" s="5">
        <v>3</v>
      </c>
      <c r="B4" s="3" t="s">
        <v>29</v>
      </c>
      <c r="C4" s="3">
        <v>75.299999999999997</v>
      </c>
      <c r="D4" s="3" t="str">
        <f>VLOOKUP(B4,FicheSkater!$C$2:$F$99,4,FALSE)</f>
        <v>./assets/teenage/drapeaux/CH.png</v>
      </c>
    </row>
    <row r="5" ht="18.75">
      <c r="A5" s="5">
        <v>4</v>
      </c>
      <c r="B5" s="3" t="s">
        <v>27</v>
      </c>
      <c r="C5" s="3">
        <v>75.299999999999997</v>
      </c>
      <c r="D5" s="3" t="str">
        <f>VLOOKUP(B5,FicheSkater!$C$2:$F$99,4,FALSE)</f>
        <v>./assets/teenage/drapeaux/FR.png</v>
      </c>
    </row>
    <row r="6" ht="18.75">
      <c r="A6" s="5">
        <v>5</v>
      </c>
      <c r="B6" s="3" t="s">
        <v>29</v>
      </c>
      <c r="C6" s="3">
        <v>75.299999999999997</v>
      </c>
      <c r="D6" s="3" t="str">
        <f>VLOOKUP(B6,FicheSkater!$C$2:$F$99,4,FALSE)</f>
        <v>./assets/teenage/drapeaux/CH.png</v>
      </c>
    </row>
    <row r="7" ht="18.75">
      <c r="A7" s="5">
        <v>6</v>
      </c>
      <c r="B7" s="3" t="s">
        <v>27</v>
      </c>
      <c r="C7" s="3">
        <v>75.299999999999997</v>
      </c>
      <c r="D7" s="3" t="str">
        <f>VLOOKUP(B7,FicheSkater!$C$2:$F$99,4,FALSE)</f>
        <v>./assets/teenage/drapeaux/FR.png</v>
      </c>
    </row>
    <row r="8" ht="18.75">
      <c r="A8" s="5">
        <v>7</v>
      </c>
      <c r="B8" s="3" t="s">
        <v>29</v>
      </c>
      <c r="C8" s="3">
        <v>75.299999999999997</v>
      </c>
      <c r="D8" s="3" t="str">
        <f>VLOOKUP(B8,FicheSkater!$C$2:$F$99,4,FALSE)</f>
        <v>./assets/teenage/drapeaux/CH.png</v>
      </c>
    </row>
    <row r="9" ht="18.75">
      <c r="A9" s="5">
        <v>8</v>
      </c>
      <c r="B9" s="3" t="s">
        <v>27</v>
      </c>
      <c r="C9" s="3">
        <v>75.299999999999997</v>
      </c>
      <c r="D9" s="3" t="str">
        <f>VLOOKUP(B9,FicheSkater!$C$2:$F$99,4,FALSE)</f>
        <v>./assets/teenage/drapeaux/FR.png</v>
      </c>
    </row>
    <row r="10" ht="14.25"/>
    <row r="11" ht="14.25"/>
    <row r="12" ht="14.25"/>
    <row r="13" ht="14.25"/>
    <row r="14" ht="14.25"/>
    <row r="15" ht="14.25"/>
    <row r="16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</sheetData>
  <dataValidations count="4" disablePrompts="0">
    <dataValidation sqref="B2:B3 B10:B1048576" type="list" allowBlank="1" errorStyle="stop" imeMode="noControl" operator="between" showDropDown="0" showErrorMessage="1" showInputMessage="1">
      <formula1>FicheSkater!$C:$C</formula1>
    </dataValidation>
    <dataValidation sqref="B4:B5" type="list" allowBlank="1" errorStyle="stop" imeMode="noControl" operator="between" showDropDown="0" showErrorMessage="1" showInputMessage="1">
      <formula1>FicheSkater!$C:$C</formula1>
    </dataValidation>
    <dataValidation sqref="B6:B7" type="list" allowBlank="1" errorStyle="stop" imeMode="noControl" operator="between" showDropDown="0" showErrorMessage="1" showInputMessage="1">
      <formula1>FicheSkater!$C:$C</formula1>
    </dataValidation>
    <dataValidation sqref="B8:B9" type="list" allowBlank="1" errorStyle="stop" imeMode="noControl" operator="between" showDropDown="0" showErrorMessage="1" showInputMessage="1">
      <formula1>FicheSkater!$C:$C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140625"/>
    <col customWidth="1" min="2" max="2" width="26.8515625"/>
    <col customWidth="1" min="3" max="3" width="36.8515625"/>
    <col customWidth="1" min="4" max="4" width="20.8515625"/>
  </cols>
  <sheetData>
    <row r="1">
      <c r="A1" s="1" t="s">
        <v>25</v>
      </c>
      <c r="B1" s="1" t="s">
        <v>2</v>
      </c>
      <c r="C1" s="1" t="s">
        <v>5</v>
      </c>
      <c r="D1" s="1" t="s">
        <v>26</v>
      </c>
    </row>
    <row r="2" ht="18.75">
      <c r="A2" s="5">
        <v>1</v>
      </c>
      <c r="B2" s="3" t="s">
        <v>28</v>
      </c>
      <c r="C2" s="3" t="str">
        <f>VLOOKUP(B2,FicheSkater!$C$2:$F$99,4,FALSE)</f>
        <v>./assets/teenage/drapeaux/ES.png</v>
      </c>
      <c r="D2" s="3">
        <v>75.299999999999997</v>
      </c>
    </row>
    <row r="3" ht="18.75">
      <c r="A3" s="5">
        <v>2</v>
      </c>
      <c r="B3" s="3" t="s">
        <v>29</v>
      </c>
      <c r="C3" s="3" t="str">
        <f>VLOOKUP(B3,FicheSkater!$C$2:$F$99,4,FALSE)</f>
        <v>./assets/teenage/drapeaux/CH.png</v>
      </c>
      <c r="D3" s="3">
        <v>35.600000000000001</v>
      </c>
    </row>
    <row r="4" ht="18.75">
      <c r="A4" s="5">
        <v>3</v>
      </c>
      <c r="B4" s="3" t="s">
        <v>27</v>
      </c>
      <c r="C4" s="3" t="str">
        <f>VLOOKUP(B4,FicheSkater!$C$2:$F$99,4,FALSE)</f>
        <v>./assets/teenage/drapeaux/FR.png</v>
      </c>
      <c r="D4" s="3">
        <v>80</v>
      </c>
    </row>
    <row r="5" ht="18.75">
      <c r="A5" s="5">
        <v>4</v>
      </c>
      <c r="B5" s="3"/>
      <c r="C5" s="3" t="e">
        <f>VLOOKUP(B5,FicheSkater!$C$2:$F$99,4,FALSE)</f>
        <v>#N/A</v>
      </c>
      <c r="D5" s="3"/>
    </row>
    <row r="6" ht="18.75">
      <c r="A6" s="5">
        <v>5</v>
      </c>
      <c r="B6" s="3"/>
      <c r="C6" s="3" t="e">
        <f>VLOOKUP(B6,FicheSkater!$C$2:$F$99,4,FALSE)</f>
        <v>#N/A</v>
      </c>
      <c r="D6" s="3"/>
    </row>
    <row r="7" ht="18.75">
      <c r="A7" s="5">
        <v>6</v>
      </c>
      <c r="B7" s="3"/>
      <c r="C7" s="3" t="e">
        <f>VLOOKUP(B7,FicheSkater!$C$2:$F$99,4,FALSE)</f>
        <v>#N/A</v>
      </c>
      <c r="D7" s="3"/>
    </row>
    <row r="8" ht="18.75">
      <c r="A8" s="5">
        <v>7</v>
      </c>
      <c r="B8" s="3"/>
      <c r="C8" s="3" t="e">
        <f>VLOOKUP(B8,FicheSkater!$C$2:$F$99,4,FALSE)</f>
        <v>#N/A</v>
      </c>
      <c r="D8" s="3"/>
    </row>
    <row r="9" ht="18.75">
      <c r="A9" s="5">
        <v>8</v>
      </c>
      <c r="B9" s="3"/>
      <c r="C9" s="3" t="e">
        <f>VLOOKUP(B9,FicheSkater!$C$2:$F$99,4,FALSE)</f>
        <v>#N/A</v>
      </c>
      <c r="D9" s="3"/>
    </row>
  </sheetData>
  <dataValidations count="7" disablePrompts="0">
    <dataValidation sqref="B2" type="list" allowBlank="1" errorStyle="stop" imeMode="noControl" operator="between" showDropDown="0" showErrorMessage="1" showInputMessage="1">
      <formula1>FicheSkater!$C:$C</formula1>
    </dataValidation>
    <dataValidation sqref="B4:B5" type="list" allowBlank="1" errorStyle="stop" imeMode="noControl" operator="between" showDropDown="0" showErrorMessage="1" showInputMessage="1">
      <formula1>FicheSkater!$C:$C</formula1>
    </dataValidation>
    <dataValidation sqref="B7" type="list" allowBlank="1" errorStyle="stop" imeMode="noControl" operator="between" showDropDown="0" showErrorMessage="1" showInputMessage="1">
      <formula1>FicheSkater!$C:$C</formula1>
    </dataValidation>
    <dataValidation sqref="B9" type="list" allowBlank="1" errorStyle="stop" imeMode="noControl" operator="between" showDropDown="0" showErrorMessage="1" showInputMessage="1">
      <formula1>FicheSkater!$C:$C</formula1>
    </dataValidation>
    <dataValidation sqref="B3" type="list" allowBlank="1" errorStyle="stop" imeMode="noControl" operator="between" showDropDown="0" showErrorMessage="1" showInputMessage="1">
      <formula1>FicheSkater!$C:$C</formula1>
    </dataValidation>
    <dataValidation sqref="B6" type="list" allowBlank="1" errorStyle="stop" imeMode="noControl" operator="between" showDropDown="0" showErrorMessage="1" showInputMessage="1">
      <formula1>FicheSkater!$C:$C</formula1>
    </dataValidation>
    <dataValidation sqref="B8" type="list" allowBlank="1" errorStyle="stop" imeMode="noControl" operator="between" showDropDown="0" showErrorMessage="1" showInputMessage="1">
      <formula1>FicheSkater!$C:$C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7109375"/>
    <col customWidth="1" min="2" max="2" width="21.00390625"/>
  </cols>
  <sheetData>
    <row r="1">
      <c r="A1" s="1" t="s">
        <v>1</v>
      </c>
    </row>
    <row r="2">
      <c r="A2" t="s">
        <v>30</v>
      </c>
    </row>
    <row r="3">
      <c r="A3" t="s">
        <v>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2026-04-13T14:47:38Z</dcterms:modified>
</cp:coreProperties>
</file>